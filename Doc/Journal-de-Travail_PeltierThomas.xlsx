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813057EA-574E-4FE0-932D-ACD637894B9D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<sst xmlns="http://schemas.openxmlformats.org/spreadsheetml/2006/main" count="44" uniqueCount="34">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</sst>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135</c:v>
                </c:pt>
                <c:pt idx="2">
                  <c:v>90</c:v>
                </c:pt>
                <c:pt idx="3">
                  <c:v>0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0.3</c:v>
                </c:pt>
                <c:pt idx="2">
                  <c:v>0.2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F12" sqref="F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7 heures 30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360</v>
      </c>
      <c r="D4" s="17">
        <f>SUBTOTAL(9,$D$7:$D$531)</f>
        <v>90</v>
      </c>
      <c r="E4" s="24">
        <f>SUM(C4:D4)</f>
        <v>450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 t="str">
        <f>IF(ISBLANK(B10),"",_xlfn.ISOWEEKNUM('Journal de travail'!$B10))</f>
        <v/>
      </c>
      <c r="B10" s="30"/>
      <c r="C10" s="31"/>
      <c r="D10" s="32"/>
      <c r="E10" s="33"/>
      <c r="F10" s="23"/>
      <c r="G10" s="39"/>
      <c r="M10" t="s">
        <v>15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16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17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15</v>
      </c>
      <c r="C7">
        <f t="shared" si="0"/>
        <v>135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15 min</v>
      </c>
      <c r="G7" s="75">
        <f t="shared" ref="G7:G9" si="2">SUM(A7:B7)/$C$11</f>
        <v>0.3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0.2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0.5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360</v>
      </c>
      <c r="B11">
        <f>SUM(B6:B10)</f>
        <v>90</v>
      </c>
      <c r="C11">
        <f>SUM(A11:B11)</f>
        <v>450</v>
      </c>
      <c r="E11" s="81" t="s">
        <v>28</v>
      </c>
      <c r="F11" s="71" t="str">
        <f t="shared" si="1"/>
        <v>7 h 30 min</v>
      </c>
      <c r="G11" s="82">
        <f>C11/C12</f>
        <v>8.3333333333333329E-2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2026-03-25T11:13:55Z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