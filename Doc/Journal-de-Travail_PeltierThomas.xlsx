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secured_webshop\Doc\"/>
    </mc:Choice>
  </mc:AlternateContent>
  <xr:revisionPtr revIDLastSave="0" documentId="13_ncr:1_{F1946D72-9C22-4D88-A5DB-C4455B82317B}" xr6:coauthVersionLast="47" xr6:coauthVersionMax="47" xr10:uidLastSave="{00000000-0000-0000-0000-000000000000}"/>
  <bookViews>
    <workbookView xWindow="3630" yWindow="1110" windowWidth="23070" windowHeight="133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<sst xmlns="http://schemas.openxmlformats.org/spreadsheetml/2006/main" count="82" uniqueCount="53">
  <si>
    <t>Journal de travail</t>
  </si>
  <si>
    <t>Auteur: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</si>
  <si>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</si>
  <si>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</si>
  <si>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</si>
  <si>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</si>
  <si>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</si>
  <si>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</si>
  <si>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</si>
  <si>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</si>
  <si>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</si>
  <si>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</si>
  <si>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</si>
  <si>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</si>
  <si>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</si>
  <si>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</si>
  <si>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</si>
  <si>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</si>
  <si>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</si>
  <si>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</si>
  <si>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</si>
  <si>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</si>
  <si>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</si>
  <si>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</si>
  <si>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</si>
  <si>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</si>
  <si>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</si>
  <si>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</si>
  <si>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</si>
  <si>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P_Web - webshop</t>
  </si>
  <si>
    <t>Peltier Thomas</t>
  </si>
  <si>
    <t>18 mars. 2026 à 8h au 29 mai 2026 à 11h25</t>
  </si>
  <si>
    <t>Maladie</t>
  </si>
  <si>
    <t>J'ai ajouter la connexion et j'ai eu un gros problème avec vscode ce qui ma fais perdre beaucoup de temps</t>
  </si>
  <si>
    <t>J'ai ajouter la création de compte</t>
  </si>
  <si>
    <t>J'ai ajouter le hash et le sel</t>
  </si>
  <si>
    <t>J'ai ajouter le poivre</t>
  </si>
  <si>
    <t>J'ai ajouter token jwt</t>
  </si>
  <si>
    <t>J'ai changer le token et le pepper dans le fichier .env car je les avais mis dans AuthController</t>
  </si>
  <si>
    <t>J'ai ajouter les roles dans le token jwt et protégé les routes admins</t>
  </si>
  <si>
    <t>Je suis entrain d'essayer de afficher les infos du compte connecter sur profile</t>
  </si>
  <si>
    <t>J'ai réglé le problème de la page profile qui n'affichait pas les infos du compte connecter</t>
  </si>
  <si>
    <t>J'ai ajouter le https avec mkcert</t>
  </si>
  <si>
    <t>J'ai ajouter une politique de mot de passe avec un indicateur de force</t>
  </si>
  <si>
    <t>J'ai ajouter le refresh token</t>
  </si>
  <si>
    <t>J'ai ajouter une limite de 5 essaye pour se connecter si c'est depasser on dois attendre 1 minute</t>
  </si>
  <si>
    <t>J'ai avancé mon rapport</t>
  </si>
  <si>
    <t>J'ai ajouter la gestion des exceptions pour que cela retourne peu d'information</t>
  </si>
  <si>
    <t>J'ai fais la partie de l'audit fix avec npm et je l'ai documenter dans mon rapport</t>
  </si>
  <si>
    <t>J'ai fais l'évaluation du projet a 80%</t>
  </si>
  <si>
    <t>J'ai avancé sur le rapport</t>
  </si>
  <si>
    <t>TEST aural</t>
  </si>
  <si>
    <t>J'ai fini mon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</si>
</sst>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60</c:v>
                </c:pt>
                <c:pt idx="1">
                  <c:v>910</c:v>
                </c:pt>
                <c:pt idx="2">
                  <c:v>90</c:v>
                </c:pt>
                <c:pt idx="3">
                  <c:v>525</c:v>
                </c:pt>
                <c:pt idx="4">
                  <c:v>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3.3149171270718231E-2</c:v>
                </c:pt>
                <c:pt idx="1">
                  <c:v>0.50276243093922657</c:v>
                </c:pt>
                <c:pt idx="2">
                  <c:v>4.9723756906077346E-2</c:v>
                </c:pt>
                <c:pt idx="3">
                  <c:v>0.29005524861878451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14" activePane="bottomLeft" state="frozen"/>
      <selection pane="bottomLeft" activeCell="F29" sqref="F2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30</v>
      </c>
      <c r="D2" s="84"/>
      <c r="E2" s="84"/>
      <c r="F2" s="5" t="s">
        <v>2</v>
      </c>
      <c r="G2" s="64" t="s">
        <v>29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30 heures 10 minutes</v>
      </c>
      <c r="D3" s="17"/>
      <c r="E3" s="3"/>
      <c r="F3" s="4" t="s">
        <v>4</v>
      </c>
      <c r="G3" s="65" t="s">
        <v>31</v>
      </c>
    </row>
    <row r="4" spans="1:15" ht="23.25" hidden="1" x14ac:dyDescent="0.35">
      <c r="B4" s="5"/>
      <c r="C4" s="17">
        <f>SUBTOTAL(9,$C$7:$C$531)*60</f>
        <v>1320</v>
      </c>
      <c r="D4" s="17">
        <f>SUBTOTAL(9,$D$7:$D$531)</f>
        <v>490</v>
      </c>
      <c r="E4" s="24">
        <f>SUM(C4:D4)</f>
        <v>1810</v>
      </c>
      <c r="F4" s="4"/>
      <c r="G4" s="6"/>
    </row>
    <row r="5" spans="1:15" x14ac:dyDescent="0.25">
      <c r="C5" s="85" t="s">
        <v>5</v>
      </c>
      <c r="D5" s="85"/>
    </row>
    <row r="6" spans="1:15" s="15" customFormat="1" ht="20.100000000000001" customHeight="1" x14ac:dyDescent="0.3">
      <c r="A6" s="13" t="s">
        <v>6</v>
      </c>
      <c r="B6" s="21" t="s">
        <v>7</v>
      </c>
      <c r="C6" s="25" t="s">
        <v>8</v>
      </c>
      <c r="D6" s="16" t="s">
        <v>9</v>
      </c>
      <c r="E6" s="14" t="s">
        <v>10</v>
      </c>
      <c r="F6" s="14" t="s">
        <v>11</v>
      </c>
      <c r="G6" s="14" t="s">
        <v>12</v>
      </c>
    </row>
    <row r="7" spans="1:15" x14ac:dyDescent="0.25">
      <c r="A7" s="61">
        <f>IF(ISBLANK(B7),"",_xlfn.ISOWEEKNUM('Journal de travail'!$B7))</f>
        <v>12</v>
      </c>
      <c r="B7" s="26">
        <v>46099</v>
      </c>
      <c r="C7" s="27">
        <v>3</v>
      </c>
      <c r="D7" s="28">
        <v>45</v>
      </c>
      <c r="E7" s="29" t="s">
        <v>17</v>
      </c>
      <c r="F7" s="23" t="s">
        <v>32</v>
      </c>
      <c r="G7" s="38"/>
    </row>
    <row r="8" spans="1:15" x14ac:dyDescent="0.25">
      <c r="A8" s="62">
        <f>IF(ISBLANK(B8),"",_xlfn.ISOWEEKNUM('Journal de travail'!$B8))</f>
        <v>13</v>
      </c>
      <c r="B8" s="30">
        <v>46106</v>
      </c>
      <c r="C8" s="31">
        <v>1</v>
      </c>
      <c r="D8" s="32">
        <v>30</v>
      </c>
      <c r="E8" s="33" t="s">
        <v>15</v>
      </c>
      <c r="F8" s="23" t="s">
        <v>15</v>
      </c>
      <c r="G8" s="39"/>
      <c r="M8" t="s">
        <v>13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13</v>
      </c>
      <c r="B9" s="34">
        <v>46106</v>
      </c>
      <c r="C9" s="35">
        <v>2</v>
      </c>
      <c r="D9" s="36">
        <v>15</v>
      </c>
      <c r="E9" s="37" t="s">
        <v>14</v>
      </c>
      <c r="F9" s="23" t="s">
        <v>33</v>
      </c>
      <c r="G9" s="40"/>
      <c r="M9" t="s">
        <v>14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14</v>
      </c>
      <c r="B10" s="30">
        <v>46113</v>
      </c>
      <c r="C10" s="31">
        <v>1</v>
      </c>
      <c r="D10" s="32">
        <v>0</v>
      </c>
      <c r="E10" s="33" t="s">
        <v>14</v>
      </c>
      <c r="F10" s="23" t="s">
        <v>34</v>
      </c>
      <c r="G10" s="39"/>
      <c r="M10" t="s">
        <v>15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14</v>
      </c>
      <c r="B11" s="34">
        <v>46113</v>
      </c>
      <c r="C11" s="35">
        <v>1</v>
      </c>
      <c r="D11" s="36">
        <v>10</v>
      </c>
      <c r="E11" s="37" t="s">
        <v>14</v>
      </c>
      <c r="F11" s="23" t="s">
        <v>35</v>
      </c>
      <c r="G11" s="40"/>
      <c r="M11" t="s">
        <v>16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14</v>
      </c>
      <c r="B12" s="30">
        <v>46113</v>
      </c>
      <c r="C12" s="31"/>
      <c r="D12" s="32">
        <v>45</v>
      </c>
      <c r="E12" s="33" t="s">
        <v>14</v>
      </c>
      <c r="F12" s="23" t="s">
        <v>36</v>
      </c>
      <c r="G12" s="39"/>
      <c r="M12" t="s">
        <v>17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14</v>
      </c>
      <c r="B13" s="34">
        <v>46113</v>
      </c>
      <c r="C13" s="35">
        <v>1</v>
      </c>
      <c r="D13" s="36">
        <v>0</v>
      </c>
      <c r="E13" s="37" t="s">
        <v>14</v>
      </c>
      <c r="F13" s="23" t="s">
        <v>37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17</v>
      </c>
      <c r="B14" s="30">
        <v>46134</v>
      </c>
      <c r="C14" s="31">
        <v>1</v>
      </c>
      <c r="D14" s="32">
        <v>0</v>
      </c>
      <c r="E14" s="33" t="s">
        <v>14</v>
      </c>
      <c r="F14" s="23" t="s">
        <v>38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17</v>
      </c>
      <c r="B15" s="34">
        <v>46134</v>
      </c>
      <c r="C15" s="35">
        <v>2</v>
      </c>
      <c r="D15" s="36">
        <v>0</v>
      </c>
      <c r="E15" s="37" t="s">
        <v>14</v>
      </c>
      <c r="F15" s="23" t="s">
        <v>39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17</v>
      </c>
      <c r="B16" s="30">
        <v>46134</v>
      </c>
      <c r="C16" s="31"/>
      <c r="D16" s="32">
        <v>45</v>
      </c>
      <c r="E16" s="33" t="s">
        <v>14</v>
      </c>
      <c r="F16" s="23" t="s">
        <v>40</v>
      </c>
      <c r="G16" s="39"/>
      <c r="O16">
        <v>40</v>
      </c>
    </row>
    <row r="17" spans="1:15" x14ac:dyDescent="0.25">
      <c r="A17" s="63">
        <f>IF(ISBLANK(B17),"",_xlfn.ISOWEEKNUM('Journal de travail'!$B17))</f>
        <v>18</v>
      </c>
      <c r="B17" s="34">
        <v>46141</v>
      </c>
      <c r="C17" s="35"/>
      <c r="D17" s="36">
        <v>55</v>
      </c>
      <c r="E17" s="37" t="s">
        <v>14</v>
      </c>
      <c r="F17" s="23" t="s">
        <v>41</v>
      </c>
      <c r="G17" s="40"/>
      <c r="O17">
        <v>45</v>
      </c>
    </row>
    <row r="18" spans="1:15" x14ac:dyDescent="0.25">
      <c r="A18" s="62">
        <f>IF(ISBLANK(B18),"",_xlfn.ISOWEEKNUM('Journal de travail'!$B18))</f>
        <v>18</v>
      </c>
      <c r="B18" s="30">
        <v>46141</v>
      </c>
      <c r="C18" s="31">
        <v>1</v>
      </c>
      <c r="D18" s="32">
        <v>0</v>
      </c>
      <c r="E18" s="33" t="s">
        <v>14</v>
      </c>
      <c r="F18" s="23" t="s">
        <v>42</v>
      </c>
      <c r="G18" s="39"/>
      <c r="O18">
        <v>50</v>
      </c>
    </row>
    <row r="19" spans="1:15" x14ac:dyDescent="0.25">
      <c r="A19" s="63">
        <f>IF(ISBLANK(B19),"",_xlfn.ISOWEEKNUM('Journal de travail'!$B19))</f>
        <v>18</v>
      </c>
      <c r="B19" s="34">
        <v>46141</v>
      </c>
      <c r="C19" s="35"/>
      <c r="D19" s="36">
        <v>30</v>
      </c>
      <c r="E19" s="37" t="s">
        <v>14</v>
      </c>
      <c r="F19" s="23" t="s">
        <v>43</v>
      </c>
      <c r="G19" s="40"/>
      <c r="O19">
        <v>55</v>
      </c>
    </row>
    <row r="20" spans="1:15" x14ac:dyDescent="0.25">
      <c r="A20" s="62">
        <f>IF(ISBLANK(B20),"",_xlfn.ISOWEEKNUM('Journal de travail'!$B20))</f>
        <v>18</v>
      </c>
      <c r="B20" s="30">
        <v>46141</v>
      </c>
      <c r="C20" s="31"/>
      <c r="D20" s="32">
        <v>55</v>
      </c>
      <c r="E20" s="33" t="s">
        <v>14</v>
      </c>
      <c r="F20" s="23" t="s">
        <v>44</v>
      </c>
      <c r="G20" s="39"/>
    </row>
    <row r="21" spans="1:15" x14ac:dyDescent="0.25">
      <c r="A21" s="63">
        <f>IF(ISBLANK(B21),"",_xlfn.ISOWEEKNUM('Journal de travail'!$B21))</f>
        <v>18</v>
      </c>
      <c r="B21" s="34">
        <v>46141</v>
      </c>
      <c r="C21" s="35"/>
      <c r="D21" s="36">
        <v>25</v>
      </c>
      <c r="E21" s="37" t="s">
        <v>14</v>
      </c>
      <c r="F21" s="23" t="s">
        <v>45</v>
      </c>
      <c r="G21" s="40"/>
    </row>
    <row r="22" spans="1:15" x14ac:dyDescent="0.25">
      <c r="A22" s="62">
        <f>IF(ISBLANK(B22),"",_xlfn.ISOWEEKNUM('Journal de travail'!$B22))</f>
        <v>19</v>
      </c>
      <c r="B22" s="30">
        <v>46148</v>
      </c>
      <c r="C22" s="31">
        <v>3</v>
      </c>
      <c r="D22" s="32">
        <v>45</v>
      </c>
      <c r="E22" s="33" t="s">
        <v>16</v>
      </c>
      <c r="F22" s="23" t="s">
        <v>46</v>
      </c>
      <c r="G22" s="39"/>
    </row>
    <row r="23" spans="1:15" x14ac:dyDescent="0.25">
      <c r="A23" s="63">
        <f>IF(ISBLANK(B23),"",_xlfn.ISOWEEKNUM('Journal de travail'!$B23))</f>
        <v>20</v>
      </c>
      <c r="B23" s="34">
        <v>46155</v>
      </c>
      <c r="C23" s="35">
        <v>1</v>
      </c>
      <c r="D23" s="36">
        <v>0</v>
      </c>
      <c r="E23" s="37" t="s">
        <v>14</v>
      </c>
      <c r="F23" s="23" t="s">
        <v>47</v>
      </c>
      <c r="G23" s="40"/>
    </row>
    <row r="24" spans="1:15" x14ac:dyDescent="0.25">
      <c r="A24" s="62">
        <f>IF(ISBLANK(B24),"",_xlfn.ISOWEEKNUM('Journal de travail'!$B24))</f>
        <v>20</v>
      </c>
      <c r="B24" s="30">
        <v>46155</v>
      </c>
      <c r="C24" s="31"/>
      <c r="D24" s="32">
        <v>30</v>
      </c>
      <c r="E24" s="33" t="s">
        <v>14</v>
      </c>
      <c r="F24" s="23" t="s">
        <v>48</v>
      </c>
      <c r="G24" s="39"/>
    </row>
    <row r="25" spans="1:15" x14ac:dyDescent="0.25">
      <c r="A25" s="63">
        <f>IF(ISBLANK(B25),"",_xlfn.ISOWEEKNUM('Journal de travail'!$B25))</f>
        <v>20</v>
      </c>
      <c r="B25" s="34">
        <v>46155</v>
      </c>
      <c r="C25" s="35"/>
      <c r="D25" s="36">
        <v>15</v>
      </c>
      <c r="E25" s="37" t="s">
        <v>13</v>
      </c>
      <c r="F25" s="23" t="s">
        <v>49</v>
      </c>
      <c r="G25" s="40"/>
    </row>
    <row r="26" spans="1:15" x14ac:dyDescent="0.25">
      <c r="A26" s="62">
        <f>IF(ISBLANK(B26),"",_xlfn.ISOWEEKNUM('Journal de travail'!$B26))</f>
        <v>20</v>
      </c>
      <c r="B26" s="30">
        <v>46155</v>
      </c>
      <c r="C26" s="31">
        <v>2</v>
      </c>
      <c r="D26" s="32">
        <v>0</v>
      </c>
      <c r="E26" s="33" t="s">
        <v>16</v>
      </c>
      <c r="F26" s="23" t="s">
        <v>50</v>
      </c>
      <c r="G26" s="39"/>
    </row>
    <row r="27" spans="1:15" x14ac:dyDescent="0.25">
      <c r="A27" s="63">
        <f>IF(ISBLANK(B27),"",_xlfn.ISOWEEKNUM('Journal de travail'!$B27))</f>
        <v>21</v>
      </c>
      <c r="B27" s="34">
        <v>46162</v>
      </c>
      <c r="C27" s="35"/>
      <c r="D27" s="36">
        <v>45</v>
      </c>
      <c r="E27" s="37" t="s">
        <v>13</v>
      </c>
      <c r="F27" s="23" t="s">
        <v>51</v>
      </c>
      <c r="G27" s="40"/>
    </row>
    <row r="28" spans="1:15" x14ac:dyDescent="0.25">
      <c r="A28" s="62">
        <f>IF(ISBLANK(B28),"",_xlfn.ISOWEEKNUM('Journal de travail'!$B28))</f>
        <v>21</v>
      </c>
      <c r="B28" s="30">
        <v>46162</v>
      </c>
      <c r="C28" s="31">
        <v>3</v>
      </c>
      <c r="D28" s="32">
        <v>0</v>
      </c>
      <c r="E28" s="33" t="s">
        <v>16</v>
      </c>
      <c r="F28" s="22" t="s">
        <v>52</v>
      </c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18</v>
      </c>
      <c r="F2" s="68">
        <v>90</v>
      </c>
      <c r="G2" s="66" t="s">
        <v>19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20</v>
      </c>
      <c r="L4" s="66" t="s">
        <v>21</v>
      </c>
      <c r="M4" s="41"/>
      <c r="N4" s="19"/>
    </row>
    <row r="5" spans="1:14" x14ac:dyDescent="0.3">
      <c r="A5" t="s">
        <v>22</v>
      </c>
      <c r="B5" t="s">
        <v>23</v>
      </c>
      <c r="C5" s="41" t="s">
        <v>24</v>
      </c>
      <c r="D5" s="42"/>
      <c r="E5" s="45" t="s">
        <v>25</v>
      </c>
      <c r="F5" s="46" t="s">
        <v>26</v>
      </c>
      <c r="G5" s="47" t="s">
        <v>27</v>
      </c>
      <c r="L5" s="48" t="s">
        <v>25</v>
      </c>
      <c r="M5" s="49" t="s">
        <v>26</v>
      </c>
      <c r="N5" s="50" t="s">
        <v>27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60</v>
      </c>
      <c r="C6">
        <f t="shared" ref="C6:C10" si="0">SUM(A6:B6)</f>
        <v>60</v>
      </c>
      <c r="E6" s="70" t="str">
        <f>'Journal de travail'!M8</f>
        <v>Analyse</v>
      </c>
      <c r="F6" s="71" t="str">
        <f>QUOTIENT(SUM(A6:B6),60)&amp;" h "&amp;TEXT(MOD(SUM(A6:B6),60), "00")&amp;" min"</f>
        <v>1 h 00 min</v>
      </c>
      <c r="G6" s="72">
        <f>SUM(A6:B6)/$C$11</f>
        <v>3.3149171270718231E-2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600</v>
      </c>
      <c r="B7">
        <f>SUMIF('Journal de travail'!$E$7:$E$532,Plannification!E7,'Journal de travail'!$D$7:$D$532)</f>
        <v>310</v>
      </c>
      <c r="C7">
        <f t="shared" si="0"/>
        <v>910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15 h 10 min</v>
      </c>
      <c r="G7" s="75">
        <f t="shared" ref="G7:G9" si="2">SUM(A7:B7)/$C$11</f>
        <v>0.50276243093922657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30</v>
      </c>
      <c r="C8">
        <f t="shared" si="0"/>
        <v>90</v>
      </c>
      <c r="E8" s="76" t="str">
        <f>'Journal de travail'!M10</f>
        <v>Test</v>
      </c>
      <c r="F8" s="71" t="str">
        <f t="shared" si="1"/>
        <v>1 h 30 min</v>
      </c>
      <c r="G8" s="72">
        <f t="shared" si="2"/>
        <v>4.9723756906077346E-2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480</v>
      </c>
      <c r="B9">
        <f>SUMIF('Journal de travail'!$E$7:$E$532,Plannification!E9,'Journal de travail'!$D$7:$D$532)</f>
        <v>45</v>
      </c>
      <c r="C9">
        <f t="shared" si="0"/>
        <v>525</v>
      </c>
      <c r="E9" s="77" t="str">
        <f>'Journal de travail'!M11</f>
        <v>Documentation</v>
      </c>
      <c r="F9" s="74" t="str">
        <f t="shared" si="1"/>
        <v>8 h 45 min</v>
      </c>
      <c r="G9" s="75">
        <f t="shared" si="2"/>
        <v>0.29005524861878451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45</v>
      </c>
      <c r="C10">
        <f t="shared" si="0"/>
        <v>225</v>
      </c>
      <c r="E10" s="78" t="s">
        <v>17</v>
      </c>
      <c r="F10" s="79" t="str">
        <f t="shared" ref="F10" si="4">QUOTIENT(SUM(A10:B10),60)&amp;" h "&amp;TEXT(MOD(SUM(A10:B10),60), "00")&amp;" min"</f>
        <v>3 h 45 min</v>
      </c>
      <c r="G10" s="80">
        <f>SUM(A10:B10)/$C$11</f>
        <v>0.12430939226519337</v>
      </c>
      <c r="L10" s="69" t="s">
        <v>17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1320</v>
      </c>
      <c r="B11">
        <f>SUM(B6:B10)</f>
        <v>490</v>
      </c>
      <c r="C11">
        <f>SUM(A11:B11)</f>
        <v>1810</v>
      </c>
      <c r="E11" s="81" t="s">
        <v>28</v>
      </c>
      <c r="F11" s="71" t="str">
        <f t="shared" si="1"/>
        <v>30 h 10 min</v>
      </c>
      <c r="G11" s="82">
        <f>C11/C12</f>
        <v>0.3351851851851852</v>
      </c>
      <c r="L11" s="56" t="s">
        <v>28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2fafb7-d8e0-4a14-bee3-33aad5c71309" xsi:nil="true"/>
    <lcf76f155ced4ddcb4097134ff3c332f xmlns="f20a0681-8b2f-4a46-9dab-cf1520193f8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5bf905bc6027d3a3176cf398b6d748a7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cdc8923a5f0a5cb2ad217e59a32ed26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2.xml><?xml version="1.0" encoding="utf-8"?>
<ds:datastoreItem xmlns:ds="http://schemas.openxmlformats.org/officeDocument/2006/customXml" ds:itemID="{EB23EBB1-226D-48F9-BD4F-72DBF2899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2026-05-20T08:21:59Z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