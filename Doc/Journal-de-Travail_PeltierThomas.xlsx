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07687469-944A-417F-B8F4-7147357E3D32}" xr6:coauthVersionLast="47" xr6:coauthVersionMax="47" xr10:uidLastSave="{00000000-0000-0000-0000-000000000000}"/>
  <bookViews>
    <workbookView xWindow="7395" yWindow="111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<sst xmlns="http://schemas.openxmlformats.org/spreadsheetml/2006/main" count="58" uniqueCount="41">
  <si>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</si>
  <si>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</si>
  <si>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</si>
  <si>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</si>
  <si>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</si>
  <si>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</si>
  <si>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</si>
  <si>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</si>
  <si>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</si>
  <si>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</si>
  <si>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</si>
  <si>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</si>
  <si>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</si>
  <si>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</si>
  <si>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</si>
  <si>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</si>
  <si>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</si>
  <si>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</si>
  <si>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</si>
  <si>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</si>
  <si>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</si>
  <si>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</si>
  <si>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</si>
  <si>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</si>
  <si>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</si>
  <si>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</si>
  <si>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</si>
  <si>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</si>
  <si>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</si>
  <si>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</si>
  <si>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</si>
  <si>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</si>
  <si>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</si>
  <si>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</si>
  <si>
    <t>J'ai ajouter la création de compte</t>
  </si>
  <si>
    <t>J'ai ajouter le hash et le sel</t>
  </si>
  <si>
    <t>J'ai ajouter le poivre</t>
  </si>
  <si>
    <t>J'ai ajouter token jwt</t>
  </si>
  <si>
    <t>J'ai changer le token et le pepper dans le fichier .env car je les avais mis dans AuthController</t>
  </si>
  <si>
    <t>J'ai ajouter les roles dans le token jwt et protégé les routes admins</t>
  </si>
  <si>
    <t>Je suis entrain d'essayer de afficher les infos du compte connecter sur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</si>
</sst>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595</c:v>
                </c:pt>
                <c:pt idx="2">
                  <c:v>90</c:v>
                </c:pt>
                <c:pt idx="3">
                  <c:v>0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0.65384615384615385</c:v>
                </c:pt>
                <c:pt idx="2">
                  <c:v>9.8901098901098897E-2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7" activePane="bottomLeft" state="frozen"/>
      <selection pane="bottomLeft" activeCell="G13" sqref="G1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15 heures 10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720</v>
      </c>
      <c r="D4" s="17">
        <f>SUBTOTAL(9,$D$7:$D$531)</f>
        <v>190</v>
      </c>
      <c r="E4" s="24">
        <f>SUM(C4:D4)</f>
        <v>910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14</v>
      </c>
      <c r="B10" s="30">
        <v>46113</v>
      </c>
      <c r="C10" s="31">
        <v>1</v>
      </c>
      <c r="D10" s="32">
        <v>0</v>
      </c>
      <c r="E10" s="33" t="s">
        <v>14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14</v>
      </c>
      <c r="B11" s="34">
        <v>46113</v>
      </c>
      <c r="C11" s="35">
        <v>1</v>
      </c>
      <c r="D11" s="36">
        <v>10</v>
      </c>
      <c r="E11" s="37" t="s">
        <v>14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14</v>
      </c>
      <c r="B12" s="30">
        <v>46113</v>
      </c>
      <c r="C12" s="31"/>
      <c r="D12" s="32">
        <v>45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46134</v>
      </c>
      <c r="C14" s="31">
        <v>1</v>
      </c>
      <c r="D14" s="32">
        <v>0</v>
      </c>
      <c r="E14" s="33" t="s">
        <v>14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17</v>
      </c>
      <c r="B15" s="34">
        <v>46134</v>
      </c>
      <c r="C15" s="35">
        <v>2</v>
      </c>
      <c r="D15" s="36">
        <v>0</v>
      </c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17</v>
      </c>
      <c r="B16" s="30">
        <v>46134</v>
      </c>
      <c r="C16" s="31"/>
      <c r="D16" s="32">
        <v>45</v>
      </c>
      <c r="E16" s="33" t="s">
        <v>14</v>
      </c>
      <c r="F16" s="23" t="s">
        <v>40</v>
      </c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480</v>
      </c>
      <c r="B7">
        <f>SUMIF('Journal de travail'!$E$7:$E$532,Plannification!E7,'Journal de travail'!$D$7:$D$532)</f>
        <v>115</v>
      </c>
      <c r="C7">
        <f t="shared" si="0"/>
        <v>595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9 h 55 min</v>
      </c>
      <c r="G7" s="75">
        <f t="shared" ref="G7:G9" si="2">SUM(A7:B7)/$C$11</f>
        <v>0.65384615384615385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9.8901098901098897E-2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0.24725274725274726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720</v>
      </c>
      <c r="B11">
        <f>SUM(B6:B10)</f>
        <v>190</v>
      </c>
      <c r="C11">
        <f>SUM(A11:B11)</f>
        <v>910</v>
      </c>
      <c r="E11" s="81" t="s">
        <v>28</v>
      </c>
      <c r="F11" s="71" t="str">
        <f t="shared" si="1"/>
        <v>15 h 10 min</v>
      </c>
      <c r="G11" s="82">
        <f>C11/C12</f>
        <v>0.16851851851851851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2026-04-22T09:58:48Z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